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ticonsultingfra-my.sharepoint.com/personal/michel_farah_fticonsulting_com/Documents/Desktop/Ligue 1/Plane calculation/"/>
    </mc:Choice>
  </mc:AlternateContent>
  <xr:revisionPtr revIDLastSave="26" documentId="8_{56D4DF94-1677-4102-AFE3-392D6244A7B3}" xr6:coauthVersionLast="47" xr6:coauthVersionMax="47" xr10:uidLastSave="{2E056A2B-1E6A-43E5-A4EF-F3FC8D228577}"/>
  <bookViews>
    <workbookView xWindow="-108" yWindow="-108" windowWidth="23256" windowHeight="13896" xr2:uid="{56AA3A27-660B-4DB7-B5E2-D9726376A7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4" i="1"/>
  <c r="B10" i="1" l="1"/>
  <c r="H10" i="1" s="1"/>
  <c r="B9" i="1"/>
  <c r="H9" i="1" s="1"/>
  <c r="B8" i="1"/>
  <c r="H8" i="1" s="1"/>
  <c r="B7" i="1"/>
  <c r="H7" i="1" s="1"/>
  <c r="B6" i="1"/>
  <c r="H6" i="1" s="1"/>
  <c r="B5" i="1"/>
  <c r="H5" i="1" s="1"/>
  <c r="B4" i="1"/>
  <c r="H4" i="1" s="1"/>
  <c r="D9" i="1" l="1"/>
  <c r="D10" i="1"/>
  <c r="D4" i="1"/>
  <c r="D7" i="1"/>
  <c r="D8" i="1"/>
  <c r="D5" i="1"/>
  <c r="D6" i="1"/>
</calcChain>
</file>

<file path=xl/sharedStrings.xml><?xml version="1.0" encoding="utf-8"?>
<sst xmlns="http://schemas.openxmlformats.org/spreadsheetml/2006/main" count="63" uniqueCount="36">
  <si>
    <t>Flight</t>
  </si>
  <si>
    <t>Hour</t>
  </si>
  <si>
    <t>Fuel/hr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</si>
  <si>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</si>
  <si>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</si>
  <si>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</si>
  <si>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</si>
  <si>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</si>
  <si>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</si>
  <si>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</si>
  <si>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</si>
  <si>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</si>
  <si>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</si>
  <si>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</si>
  <si>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</si>
  <si>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</si>
  <si>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</si>
  <si>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</si>
  <si>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</si>
  <si>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</si>
  <si>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</si>
  <si>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</si>
  <si>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</si>
  <si>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</si>
  <si>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</si>
  <si>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</si>
  <si>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</si>
  <si>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</si>
  <si>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Speed</t>
  </si>
  <si>
    <t>Air distance (in nm)</t>
  </si>
  <si>
    <t>Fuel (in kg)</t>
  </si>
  <si>
    <t>Ground distance (in nm)</t>
  </si>
  <si>
    <t>Air distance (in km)</t>
  </si>
  <si>
    <t>Source: Dispatch.Simbrief</t>
  </si>
  <si>
    <t>Fuel per distance</t>
  </si>
  <si>
    <t>Time per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</si>
</sst>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2" fillId="0" borderId="0" xfId="0" applyFont="1"/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7EA1-6F14-49D8-8BF2-308E090B90DF}">
  <dimension ref="A1:AC20"/>
  <sheetViews>
    <sheetView tabSelected="1" topLeftCell="F7" workbookViewId="0">
      <selection activeCell="T25" sqref="T25"/>
    </sheetView>
  </sheetViews>
  <sheetFormatPr defaultRowHeight="14.4" x14ac:dyDescent="0.3"/>
  <sheetData>
    <row r="1" spans="1:26" x14ac:dyDescent="0.3">
      <c r="A1" t="s">
        <v>33</v>
      </c>
    </row>
    <row r="2" spans="1:26" x14ac:dyDescent="0.3">
      <c r="J2" s="5" t="s">
        <v>34</v>
      </c>
      <c r="U2" s="5" t="s">
        <v>35</v>
      </c>
    </row>
    <row r="3" spans="1:26" x14ac:dyDescent="0.3">
      <c r="A3" t="s">
        <v>0</v>
      </c>
      <c r="B3" t="s">
        <v>1</v>
      </c>
      <c r="C3" t="s">
        <v>30</v>
      </c>
      <c r="D3" t="s">
        <v>2</v>
      </c>
      <c r="E3" t="s">
        <v>29</v>
      </c>
      <c r="F3" t="s">
        <v>32</v>
      </c>
      <c r="G3" t="s">
        <v>31</v>
      </c>
      <c r="H3" t="s">
        <v>28</v>
      </c>
      <c r="J3" t="s">
        <v>3</v>
      </c>
      <c r="U3" t="s">
        <v>3</v>
      </c>
    </row>
    <row r="4" spans="1:26" ht="15" thickBot="1" x14ac:dyDescent="0.35">
      <c r="A4">
        <v>1</v>
      </c>
      <c r="B4">
        <f>0.44*100/60</f>
        <v>0.73333333333333328</v>
      </c>
      <c r="C4">
        <v>2360</v>
      </c>
      <c r="D4">
        <f>C4/B4</f>
        <v>3218.1818181818185</v>
      </c>
      <c r="E4">
        <v>199</v>
      </c>
      <c r="F4">
        <f>E4*1.852</f>
        <v>368.548</v>
      </c>
      <c r="G4">
        <v>179</v>
      </c>
      <c r="H4">
        <f>E4/B4</f>
        <v>271.36363636363637</v>
      </c>
    </row>
    <row r="5" spans="1:26" x14ac:dyDescent="0.3">
      <c r="A5">
        <v>2</v>
      </c>
      <c r="B5">
        <f>0.56*100/60</f>
        <v>0.93333333333333346</v>
      </c>
      <c r="C5">
        <v>2826</v>
      </c>
      <c r="D5">
        <f t="shared" ref="D5:D10" si="0">C5/B5</f>
        <v>3027.8571428571427</v>
      </c>
      <c r="E5">
        <v>268</v>
      </c>
      <c r="F5">
        <f t="shared" ref="F5:F10" si="1">E5*1.852</f>
        <v>496.33600000000001</v>
      </c>
      <c r="G5">
        <v>279</v>
      </c>
      <c r="H5">
        <f t="shared" ref="H5:H10" si="2">E5/B5</f>
        <v>287.14285714285711</v>
      </c>
      <c r="J5" s="4" t="s">
        <v>4</v>
      </c>
      <c r="K5" s="4"/>
      <c r="U5" s="4" t="s">
        <v>4</v>
      </c>
      <c r="V5" s="4"/>
    </row>
    <row r="6" spans="1:26" x14ac:dyDescent="0.3">
      <c r="A6">
        <v>3</v>
      </c>
      <c r="B6">
        <f>1+0.19*100/60</f>
        <v>1.3166666666666667</v>
      </c>
      <c r="C6">
        <v>3885</v>
      </c>
      <c r="D6">
        <f t="shared" si="0"/>
        <v>2950.6329113924053</v>
      </c>
      <c r="E6">
        <v>473</v>
      </c>
      <c r="F6">
        <f t="shared" si="1"/>
        <v>875.99600000000009</v>
      </c>
      <c r="G6">
        <v>500</v>
      </c>
      <c r="H6">
        <f t="shared" si="2"/>
        <v>359.24050632911394</v>
      </c>
      <c r="J6" s="1" t="s">
        <v>5</v>
      </c>
      <c r="K6" s="1">
        <v>0.99875500274991813</v>
      </c>
      <c r="U6" s="1" t="s">
        <v>5</v>
      </c>
      <c r="V6" s="1">
        <v>0.99620372047648065</v>
      </c>
    </row>
    <row r="7" spans="1:26" x14ac:dyDescent="0.3">
      <c r="A7">
        <v>4</v>
      </c>
      <c r="B7">
        <f>0.42*100/60</f>
        <v>0.7</v>
      </c>
      <c r="C7">
        <v>2395</v>
      </c>
      <c r="D7">
        <f t="shared" si="0"/>
        <v>3421.4285714285716</v>
      </c>
      <c r="E7">
        <v>218</v>
      </c>
      <c r="F7">
        <f t="shared" si="1"/>
        <v>403.73600000000005</v>
      </c>
      <c r="G7">
        <v>199</v>
      </c>
      <c r="H7">
        <f t="shared" si="2"/>
        <v>311.42857142857144</v>
      </c>
      <c r="J7" s="1" t="s">
        <v>6</v>
      </c>
      <c r="K7" s="1">
        <v>0.99751155551798887</v>
      </c>
      <c r="U7" s="1" t="s">
        <v>6</v>
      </c>
      <c r="V7" s="1">
        <v>0.99242185269118188</v>
      </c>
    </row>
    <row r="8" spans="1:26" x14ac:dyDescent="0.3">
      <c r="A8">
        <v>5</v>
      </c>
      <c r="B8">
        <f>1+0.13*100/60</f>
        <v>1.2166666666666668</v>
      </c>
      <c r="C8">
        <v>3553</v>
      </c>
      <c r="D8">
        <f t="shared" si="0"/>
        <v>2920.2739726027394</v>
      </c>
      <c r="E8">
        <v>396</v>
      </c>
      <c r="F8">
        <f t="shared" si="1"/>
        <v>733.39200000000005</v>
      </c>
      <c r="G8">
        <v>422</v>
      </c>
      <c r="H8">
        <f t="shared" si="2"/>
        <v>325.47945205479448</v>
      </c>
      <c r="J8" s="1" t="s">
        <v>7</v>
      </c>
      <c r="K8" s="1">
        <v>0.99701386662158664</v>
      </c>
      <c r="U8" s="1" t="s">
        <v>7</v>
      </c>
      <c r="V8" s="1">
        <v>0.99090622322941824</v>
      </c>
    </row>
    <row r="9" spans="1:26" x14ac:dyDescent="0.3">
      <c r="A9">
        <v>6</v>
      </c>
      <c r="B9">
        <f>2+0.06*100/60</f>
        <v>2.1</v>
      </c>
      <c r="C9">
        <v>5764</v>
      </c>
      <c r="D9">
        <f t="shared" si="0"/>
        <v>2744.7619047619046</v>
      </c>
      <c r="E9">
        <v>818</v>
      </c>
      <c r="F9">
        <f t="shared" si="1"/>
        <v>1514.9360000000001</v>
      </c>
      <c r="G9">
        <v>799</v>
      </c>
      <c r="H9">
        <f t="shared" si="2"/>
        <v>389.52380952380952</v>
      </c>
      <c r="J9" s="1" t="s">
        <v>8</v>
      </c>
      <c r="K9" s="1">
        <v>65.114535354404609</v>
      </c>
      <c r="U9" s="1" t="s">
        <v>8</v>
      </c>
      <c r="V9" s="1">
        <v>4.610955788453526E-2</v>
      </c>
    </row>
    <row r="10" spans="1:26" ht="15" thickBot="1" x14ac:dyDescent="0.35">
      <c r="A10">
        <v>7</v>
      </c>
      <c r="B10">
        <f>0.56*100/60</f>
        <v>0.93333333333333346</v>
      </c>
      <c r="C10">
        <v>2897</v>
      </c>
      <c r="D10">
        <f t="shared" si="0"/>
        <v>3103.9285714285711</v>
      </c>
      <c r="E10">
        <v>291</v>
      </c>
      <c r="F10">
        <f t="shared" si="1"/>
        <v>538.93200000000002</v>
      </c>
      <c r="G10">
        <v>331</v>
      </c>
      <c r="H10">
        <f t="shared" si="2"/>
        <v>311.78571428571422</v>
      </c>
      <c r="J10" s="2" t="s">
        <v>9</v>
      </c>
      <c r="K10" s="2">
        <v>7</v>
      </c>
      <c r="U10" s="2" t="s">
        <v>9</v>
      </c>
      <c r="V10" s="2">
        <v>7</v>
      </c>
    </row>
    <row r="12" spans="1:26" ht="15" thickBot="1" x14ac:dyDescent="0.35">
      <c r="J12" t="s">
        <v>10</v>
      </c>
      <c r="U12" t="s">
        <v>10</v>
      </c>
    </row>
    <row r="13" spans="1:26" x14ac:dyDescent="0.3">
      <c r="J13" s="3"/>
      <c r="K13" s="3" t="s">
        <v>15</v>
      </c>
      <c r="L13" s="3" t="s">
        <v>16</v>
      </c>
      <c r="M13" s="3" t="s">
        <v>17</v>
      </c>
      <c r="N13" s="3" t="s">
        <v>18</v>
      </c>
      <c r="O13" s="3" t="s">
        <v>19</v>
      </c>
      <c r="U13" s="3"/>
      <c r="V13" s="3" t="s">
        <v>15</v>
      </c>
      <c r="W13" s="3" t="s">
        <v>16</v>
      </c>
      <c r="X13" s="3" t="s">
        <v>17</v>
      </c>
      <c r="Y13" s="3" t="s">
        <v>18</v>
      </c>
      <c r="Z13" s="3" t="s">
        <v>19</v>
      </c>
    </row>
    <row r="14" spans="1:26" x14ac:dyDescent="0.3">
      <c r="J14" s="1" t="s">
        <v>11</v>
      </c>
      <c r="K14" s="1">
        <v>1</v>
      </c>
      <c r="L14" s="1">
        <v>8497983.3435707577</v>
      </c>
      <c r="M14" s="1">
        <v>8497983.3435707577</v>
      </c>
      <c r="N14" s="1">
        <v>2004.2873424121076</v>
      </c>
      <c r="O14" s="1">
        <v>1.0497481082788514E-7</v>
      </c>
      <c r="U14" s="1" t="s">
        <v>11</v>
      </c>
      <c r="V14" s="1">
        <v>1</v>
      </c>
      <c r="W14" s="1">
        <v>1.3921473211362416</v>
      </c>
      <c r="X14" s="1">
        <v>1.3921473211362416</v>
      </c>
      <c r="Y14" s="1">
        <v>654.79187210861858</v>
      </c>
      <c r="Z14" s="1">
        <v>1.7020232551170603E-6</v>
      </c>
    </row>
    <row r="15" spans="1:26" x14ac:dyDescent="0.3">
      <c r="J15" s="1" t="s">
        <v>12</v>
      </c>
      <c r="K15" s="1">
        <v>5</v>
      </c>
      <c r="L15" s="1">
        <v>21199.513572100037</v>
      </c>
      <c r="M15" s="1">
        <v>4239.9027144200072</v>
      </c>
      <c r="N15" s="1"/>
      <c r="O15" s="1"/>
      <c r="U15" s="1" t="s">
        <v>12</v>
      </c>
      <c r="V15" s="1">
        <v>5</v>
      </c>
      <c r="W15" s="1">
        <v>1.0630456641536539E-2</v>
      </c>
      <c r="X15" s="1">
        <v>2.1260913283073076E-3</v>
      </c>
      <c r="Y15" s="1"/>
      <c r="Z15" s="1"/>
    </row>
    <row r="16" spans="1:26" ht="15" thickBot="1" x14ac:dyDescent="0.35">
      <c r="J16" s="2" t="s">
        <v>13</v>
      </c>
      <c r="K16" s="2">
        <v>6</v>
      </c>
      <c r="L16" s="2">
        <v>8519182.8571428582</v>
      </c>
      <c r="M16" s="2"/>
      <c r="N16" s="2"/>
      <c r="O16" s="2"/>
      <c r="U16" s="2" t="s">
        <v>13</v>
      </c>
      <c r="V16" s="2">
        <v>6</v>
      </c>
      <c r="W16" s="2">
        <v>1.4027777777777781</v>
      </c>
      <c r="X16" s="2"/>
      <c r="Y16" s="2"/>
      <c r="Z16" s="2"/>
    </row>
    <row r="17" spans="10:29" ht="15" thickBot="1" x14ac:dyDescent="0.35"/>
    <row r="18" spans="10:29" x14ac:dyDescent="0.3">
      <c r="J18" s="3"/>
      <c r="K18" s="3" t="s">
        <v>20</v>
      </c>
      <c r="L18" s="3" t="s">
        <v>8</v>
      </c>
      <c r="M18" s="3" t="s">
        <v>21</v>
      </c>
      <c r="N18" s="3" t="s">
        <v>22</v>
      </c>
      <c r="O18" s="3" t="s">
        <v>23</v>
      </c>
      <c r="P18" s="3" t="s">
        <v>24</v>
      </c>
      <c r="Q18" s="3" t="s">
        <v>25</v>
      </c>
      <c r="R18" s="3" t="s">
        <v>26</v>
      </c>
      <c r="S18" s="6"/>
      <c r="U18" s="3"/>
      <c r="V18" s="3" t="s">
        <v>20</v>
      </c>
      <c r="W18" s="3" t="s">
        <v>8</v>
      </c>
      <c r="X18" s="3" t="s">
        <v>21</v>
      </c>
      <c r="Y18" s="3" t="s">
        <v>22</v>
      </c>
      <c r="Z18" s="3" t="s">
        <v>23</v>
      </c>
      <c r="AA18" s="3" t="s">
        <v>24</v>
      </c>
      <c r="AB18" s="3" t="s">
        <v>25</v>
      </c>
      <c r="AC18" s="3" t="s">
        <v>26</v>
      </c>
    </row>
    <row r="19" spans="10:29" x14ac:dyDescent="0.3">
      <c r="J19" s="1" t="s">
        <v>14</v>
      </c>
      <c r="K19" s="1">
        <v>1287.8607908952431</v>
      </c>
      <c r="L19" s="1">
        <v>52.872592249302997</v>
      </c>
      <c r="M19" s="1">
        <v>24.357814438580331</v>
      </c>
      <c r="N19" s="1">
        <v>2.1742090528832136E-6</v>
      </c>
      <c r="O19" s="1">
        <v>1151.9474656561795</v>
      </c>
      <c r="P19" s="1">
        <v>1423.7741161343067</v>
      </c>
      <c r="Q19" s="1">
        <v>1151.9474656561795</v>
      </c>
      <c r="R19" s="1">
        <v>1423.7741161343067</v>
      </c>
      <c r="S19" s="1"/>
      <c r="U19" s="1" t="s">
        <v>14</v>
      </c>
      <c r="V19" s="1">
        <v>0.28538784978754594</v>
      </c>
      <c r="W19" s="1">
        <v>3.7440670344271385E-2</v>
      </c>
      <c r="X19" s="1">
        <v>7.6224022476993856</v>
      </c>
      <c r="Y19" s="1">
        <v>6.178972857511472E-4</v>
      </c>
      <c r="Z19" s="1">
        <v>0.18914354268651468</v>
      </c>
      <c r="AA19" s="1">
        <v>0.38163215688857721</v>
      </c>
      <c r="AB19" s="1">
        <v>0.18914354268651468</v>
      </c>
      <c r="AC19" s="1">
        <v>0.38163215688857721</v>
      </c>
    </row>
    <row r="20" spans="10:29" ht="15" thickBot="1" x14ac:dyDescent="0.35">
      <c r="J20" s="2" t="s">
        <v>27</v>
      </c>
      <c r="K20" s="2">
        <v>2.97350834930426</v>
      </c>
      <c r="L20" s="2">
        <v>6.641851638751689E-2</v>
      </c>
      <c r="M20" s="2">
        <v>44.769267834219804</v>
      </c>
      <c r="N20" s="2">
        <v>1.0497481082788494E-7</v>
      </c>
      <c r="O20" s="2">
        <v>2.802774117528597</v>
      </c>
      <c r="P20" s="2">
        <v>3.1442425810799248</v>
      </c>
      <c r="Q20" s="2">
        <v>2.802774117528597</v>
      </c>
      <c r="R20" s="2">
        <v>3.1442425810799248</v>
      </c>
      <c r="S20" s="1"/>
      <c r="U20" s="2" t="s">
        <v>27</v>
      </c>
      <c r="V20" s="2">
        <v>1.2035214155466424E-3</v>
      </c>
      <c r="W20" s="2">
        <v>4.7032946012844463E-5</v>
      </c>
      <c r="X20" s="2">
        <v>25.588901346259846</v>
      </c>
      <c r="Y20" s="2">
        <v>1.7020232551170603E-6</v>
      </c>
      <c r="Z20" s="2">
        <v>1.082619378849561E-3</v>
      </c>
      <c r="AA20" s="2">
        <v>1.3244234522437237E-3</v>
      </c>
      <c r="AB20" s="2">
        <v>1.082619378849561E-3</v>
      </c>
      <c r="AC20" s="2">
        <v>1.3244234522437237E-3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Farah, Michel</dc:creator>
  <cp:lastModifiedBy>Farah, Michel</cp:lastModifiedBy>
  <dcterms:created xsi:type="dcterms:W3CDTF">2025-07-24T16:12:23Z</dcterms:created>
  <dcterms:modified xsi:type="dcterms:W3CDTF">2025-07-30T12:25:39Z</dcterms:modified>
</cp:coreProperties>
</file>